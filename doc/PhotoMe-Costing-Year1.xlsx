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onthly P&amp;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<sst xmlns="http://schemas.openxmlformats.org/spreadsheetml/2006/main" count="129" uniqueCount="120">
  <si>
    <t xml:space="preserve">PhotoMe — Year 1 Financial Summary</t>
  </si>
  <si>
    <t xml:space="preserve">Single-university pilot launch. Conservative base case with realistic adoption assumptions.</t>
  </si>
  <si>
    <t xml:space="preserve">HEADLINE NUMBERS</t>
  </si>
  <si>
    <t xml:space="preserve">Total Revenue (Year 1)</t>
  </si>
  <si>
    <t xml:space="preserve">From Pro + Business subscriptions</t>
  </si>
  <si>
    <t xml:space="preserve">Total Costs (Year 1)</t>
  </si>
  <si>
    <t xml:space="preserve">Operating costs only — no founder salaries</t>
  </si>
  <si>
    <t xml:space="preserve">Net Position (Year 1)</t>
  </si>
  <si>
    <t xml:space="preserve">Investment needed to reach Month 12</t>
  </si>
  <si>
    <t xml:space="preserve">Free users by Month 12</t>
  </si>
  <si>
    <t xml:space="preserve">20% of student body</t>
  </si>
  <si>
    <t xml:space="preserve">Pro subscribers by Month 12</t>
  </si>
  <si>
    <t xml:space="preserve">Recurring revenue base</t>
  </si>
  <si>
    <t xml:space="preserve">Monthly run-rate by Month 12</t>
  </si>
  <si>
    <t xml:space="preserve">Trajectory entering Year 2</t>
  </si>
  <si>
    <t xml:space="preserve">WHERE THE MONEY GOES</t>
  </si>
  <si>
    <t xml:space="preserve">Cost line</t>
  </si>
  <si>
    <t xml:space="preserve">Year 1 total</t>
  </si>
  <si>
    <t xml:space="preserve">% of total</t>
  </si>
  <si>
    <t xml:space="preserve">Cloud hosting &amp; storage</t>
  </si>
  <si>
    <t xml:space="preserve">App store + developer fees</t>
  </si>
  <si>
    <t xml:space="preserve">Marketing &amp; paid social</t>
  </si>
  <si>
    <t xml:space="preserve">Campus ambassadors</t>
  </si>
  <si>
    <t xml:space="preserve">University society partnerships</t>
  </si>
  <si>
    <t xml:space="preserve">Payment processing fees</t>
  </si>
  <si>
    <t xml:space="preserve">Legal, accounting &amp; admin</t>
  </si>
  <si>
    <t xml:space="preserve">Insurance &amp; misc</t>
  </si>
  <si>
    <t xml:space="preserve">TOTAL</t>
  </si>
  <si>
    <t xml:space="preserve">KEY NOTES</t>
  </si>
  <si>
    <t xml:space="preserve">• Founder team unpaid in Year 1 — no salary line included. Adding two £18k/yr founder salaries would push Year 1 cost by ~£36k.</t>
  </si>
  <si>
    <t xml:space="preserve">• Pro conversion modelled at ~7% of free users (industry benchmark for freemium). User-research intent of 67% typically converts at 1/10th of stated rate.</t>
  </si>
  <si>
    <t xml:space="preserve">• Marketing peaks in September (Freshers) and January (Refreshers). Ambassador programme runs term-time only.</t>
  </si>
  <si>
    <t xml:space="preserve">• Phase 2 commercial launch (photographers, venues, multi-uni rollout) begins Year 2 — not modelled here.</t>
  </si>
  <si>
    <t xml:space="preserve">• Funding requirement: ~£12-15k pre-seed covers Year 1 operating loss and provides runway through Freshers 2027.</t>
  </si>
  <si>
    <t xml:space="preserve">PhotoMe — Year 1 Assumptions</t>
  </si>
  <si>
    <t xml:space="preserve">Pilot launch: single UK university (~25,000 students). Realistic, conservative base case.</t>
  </si>
  <si>
    <t xml:space="preserve">PRICING</t>
  </si>
  <si>
    <t xml:space="preserve">Pro tier monthly price</t>
  </si>
  <si>
    <t xml:space="preserve">£/user/month</t>
  </si>
  <si>
    <t xml:space="preserve">Business tier monthly price</t>
  </si>
  <si>
    <t xml:space="preserve">£/organiser/month</t>
  </si>
  <si>
    <t xml:space="preserve">Payment processing rate</t>
  </si>
  <si>
    <t xml:space="preserve">Stripe 1.4% + 20p — fee modelled in monthly P&amp;L</t>
  </si>
  <si>
    <t xml:space="preserve">Payment processing fixed fee</t>
  </si>
  <si>
    <t xml:space="preserve">£ per transaction</t>
  </si>
  <si>
    <t xml:space="preserve">ADOPTION DRIVERS</t>
  </si>
  <si>
    <t xml:space="preserve">Target university student population</t>
  </si>
  <si>
    <t xml:space="preserve">Mid-sized UK university</t>
  </si>
  <si>
    <t xml:space="preserve">Target free-tier reach by Month 12</t>
  </si>
  <si>
    <t xml:space="preserve">Pro conversion rate (realistic)</t>
  </si>
  <si>
    <t xml:space="preserve">Industry freemium benchmark 2–8%; user-research intent was 67% but real conversion typically 1/10th of stated intent</t>
  </si>
  <si>
    <t xml:space="preserve">Business tier — organisers by Month 12</t>
  </si>
  <si>
    <t xml:space="preserve">Society/event partnerships</t>
  </si>
  <si>
    <t xml:space="preserve">Monthly Pro churn</t>
  </si>
  <si>
    <t xml:space="preserve">5% monthly churn on Pro tier</t>
  </si>
  <si>
    <t xml:space="preserve">COST DRIVERS</t>
  </si>
  <si>
    <t xml:space="preserve">Cloud hosting baseline</t>
  </si>
  <si>
    <t xml:space="preserve">£/month — AWS/Firebase + storage, scales with users</t>
  </si>
  <si>
    <t xml:space="preserve">Hosting per 1,000 active users</t>
  </si>
  <si>
    <t xml:space="preserve">Marginal cost per 1k MAU (storage + bandwidth)</t>
  </si>
  <si>
    <t xml:space="preserve">Apple Developer Programme</t>
  </si>
  <si>
    <t xml:space="preserve">£99/year</t>
  </si>
  <si>
    <t xml:space="preserve">Google Play Developer</t>
  </si>
  <si>
    <t xml:space="preserve">£25 one-off</t>
  </si>
  <si>
    <t xml:space="preserve">Domain + SSL + email</t>
  </si>
  <si>
    <t xml:space="preserve">£/year</t>
  </si>
  <si>
    <t xml:space="preserve">Campus ambassador stipend</t>
  </si>
  <si>
    <t xml:space="preserve">£/ambassador/month — 6 ambassadors at peak</t>
  </si>
  <si>
    <t xml:space="preserve">Society partnership fees</t>
  </si>
  <si>
    <t xml:space="preserve">£/event society/term — Freshers, sports, balls</t>
  </si>
  <si>
    <t xml:space="preserve">Legal / accounting / admin</t>
  </si>
  <si>
    <t xml:space="preserve">£/month average</t>
  </si>
  <si>
    <t xml:space="preserve">Insurance + misc compliance</t>
  </si>
  <si>
    <t xml:space="preserve">£/month</t>
  </si>
  <si>
    <t xml:space="preserve">LEGEND</t>
  </si>
  <si>
    <t xml:space="preserve">Blue text = input / assumption (change to flex the model)</t>
  </si>
  <si>
    <t xml:space="preserve">Black text = formula / calculation</t>
  </si>
  <si>
    <t xml:space="preserve">PhotoMe — Year 1 Monthly P&amp;L</t>
  </si>
  <si>
    <t xml:space="preserve">Single-university pilot. All values £. Blue = input, black = formula.</t>
  </si>
  <si>
    <t xml:space="preserve">Driver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</si>
  <si>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</si>
  <si>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</si>
  <si>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</si>
  <si>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</si>
  <si>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</si>
  <si>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</si>
  <si>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</si>
  <si>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</si>
  <si>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</si>
  <si>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</si>
  <si>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</si>
  <si>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</si>
  <si>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Year 1 Total</t>
  </si>
  <si>
    <t xml:space="preserve">Phase</t>
  </si>
  <si>
    <t xml:space="preserve">Pre-launch</t>
  </si>
  <si>
    <t xml:space="preserve">Beta</t>
  </si>
  <si>
    <t xml:space="preserve">Pre-Freshers</t>
  </si>
  <si>
    <t xml:space="preserve">Freshers Launch</t>
  </si>
  <si>
    <t xml:space="preserve">Growth</t>
  </si>
  <si>
    <t xml:space="preserve">Steady</t>
  </si>
  <si>
    <t xml:space="preserve">Holiday</t>
  </si>
  <si>
    <t xml:space="preserve">Refreshers</t>
  </si>
  <si>
    <t xml:space="preserve">Event Season</t>
  </si>
  <si>
    <t xml:space="preserve">Ball Season</t>
  </si>
  <si>
    <t xml:space="preserve">Year-End Peak</t>
  </si>
  <si>
    <t xml:space="preserve">USERS</t>
  </si>
  <si>
    <t xml:space="preserve">Free-tier users (cumulative)</t>
  </si>
  <si>
    <t xml:space="preserve">Pro subscribers (cumulative)</t>
  </si>
  <si>
    <t xml:space="preserve">Business subscribers (cumulative)</t>
  </si>
  <si>
    <t xml:space="preserve">Pro conversion %</t>
  </si>
  <si>
    <t xml:space="preserve">REVENUE</t>
  </si>
  <si>
    <t xml:space="preserve">Pro subscription revenue</t>
  </si>
  <si>
    <t xml:space="preserve">Business subscription revenue</t>
  </si>
  <si>
    <t xml:space="preserve">Total Revenue</t>
  </si>
  <si>
    <t xml:space="preserve">OPERATING COSTS</t>
  </si>
  <si>
    <t xml:space="preserve">Marketing &amp; paid social ads</t>
  </si>
  <si>
    <t xml:space="preserve">Total Costs</t>
  </si>
  <si>
    <t xml:space="preserve">NET POSITION</t>
  </si>
  <si>
    <t xml:space="preserve">Net profit / (loss)</t>
  </si>
  <si>
    <t xml:space="preserve">Cumulative cash position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</si>
</sst>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\£#,##0.00;&quot;(£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F04E6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FFF1F4"/>
      </patternFill>
    </fill>
    <fill>
      <patternFill patternType="solid">
        <fgColor rgb="FFFFF1F4"/>
        <bgColor rgb="FFFFF9DB"/>
      </patternFill>
    </fill>
    <fill>
      <patternFill patternType="solid">
        <fgColor rgb="FFFFF9DB"/>
        <bgColor rgb="FFFFF1F4"/>
      </patternFill>
    </fill>
    <fill>
      <patternFill patternType="solid">
        <fgColor rgb="FF0F1033"/>
        <bgColor rgb="FF1F293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1033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5E7EB"/>
      <rgbColor rgb="FF660066"/>
      <rgbColor rgb="FFF04E6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1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7.35" hidden="false" customHeight="false" outlineLevel="0" collapsed="false">
      <c r="A5" s="4" t="s">
        <v>3</v>
      </c>
      <c r="B5" s="5" t="n">
        <f aca="false">'Monthly P&amp;L'!O16</f>
        <v>6179.16</v>
      </c>
      <c r="C5" s="2" t="s">
        <v>4</v>
      </c>
      <c r="D5" s="2"/>
      <c r="E5" s="2"/>
      <c r="F5" s="2"/>
    </row>
    <row r="6" customFormat="false" ht="17.35" hidden="false" customHeight="false" outlineLevel="0" collapsed="false">
      <c r="A6" s="4" t="s">
        <v>5</v>
      </c>
      <c r="B6" s="5" t="n">
        <f aca="false">'Monthly P&amp;L'!O27</f>
        <v>15454.07424</v>
      </c>
      <c r="C6" s="2" t="s">
        <v>6</v>
      </c>
      <c r="D6" s="2"/>
      <c r="E6" s="2"/>
      <c r="F6" s="2"/>
    </row>
    <row r="7" customFormat="false" ht="17.35" hidden="false" customHeight="false" outlineLevel="0" collapsed="false">
      <c r="A7" s="4" t="s">
        <v>7</v>
      </c>
      <c r="B7" s="5" t="n">
        <f aca="false">'Monthly P&amp;L'!O30</f>
        <v>-9274.91424</v>
      </c>
      <c r="C7" s="2" t="s">
        <v>8</v>
      </c>
      <c r="D7" s="2"/>
      <c r="E7" s="2"/>
      <c r="F7" s="2"/>
    </row>
    <row r="8" customFormat="false" ht="17.35" hidden="false" customHeight="false" outlineLevel="0" collapsed="false">
      <c r="A8" s="4" t="s">
        <v>9</v>
      </c>
      <c r="B8" s="6" t="n">
        <f aca="false">'Monthly P&amp;L'!N8</f>
        <v>5000</v>
      </c>
      <c r="C8" s="2" t="s">
        <v>10</v>
      </c>
      <c r="D8" s="2"/>
      <c r="E8" s="2"/>
      <c r="F8" s="2"/>
    </row>
    <row r="9" customFormat="false" ht="17.35" hidden="false" customHeight="false" outlineLevel="0" collapsed="false">
      <c r="A9" s="4" t="s">
        <v>11</v>
      </c>
      <c r="B9" s="6" t="n">
        <f aca="false">'Monthly P&amp;L'!N9</f>
        <v>340</v>
      </c>
      <c r="C9" s="2" t="s">
        <v>12</v>
      </c>
      <c r="D9" s="2"/>
      <c r="E9" s="2"/>
      <c r="F9" s="2"/>
    </row>
    <row r="10" customFormat="false" ht="17.35" hidden="false" customHeight="false" outlineLevel="0" collapsed="false">
      <c r="A10" s="4" t="s">
        <v>13</v>
      </c>
      <c r="B10" s="5" t="n">
        <f aca="false">'Monthly P&amp;L'!N16</f>
        <v>1096.55</v>
      </c>
      <c r="C10" s="2" t="s">
        <v>14</v>
      </c>
      <c r="D10" s="2"/>
      <c r="E10" s="2"/>
      <c r="F10" s="2"/>
    </row>
    <row r="13" customFormat="false" ht="15" hidden="false" customHeight="false" outlineLevel="0" collapsed="false">
      <c r="A13" s="3" t="s">
        <v>15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7" t="s">
        <v>16</v>
      </c>
      <c r="B14" s="7" t="s">
        <v>17</v>
      </c>
      <c r="C14" s="7" t="s">
        <v>18</v>
      </c>
    </row>
    <row r="15" customFormat="false" ht="15" hidden="false" customHeight="false" outlineLevel="0" collapsed="false">
      <c r="A15" s="4" t="s">
        <v>19</v>
      </c>
      <c r="B15" s="8" t="n">
        <f aca="false">'Monthly P&amp;L'!O19</f>
        <v>163.566</v>
      </c>
      <c r="C15" s="9" t="n">
        <f aca="false">B15/'Monthly P&amp;L'!O27</f>
        <v>0.0105840050629911</v>
      </c>
    </row>
    <row r="16" customFormat="false" ht="15" hidden="false" customHeight="false" outlineLevel="0" collapsed="false">
      <c r="A16" s="4" t="s">
        <v>20</v>
      </c>
      <c r="B16" s="8" t="n">
        <f aca="false">'Monthly P&amp;L'!O20</f>
        <v>204</v>
      </c>
      <c r="C16" s="9" t="n">
        <f aca="false">B16/'Monthly P&amp;L'!O27</f>
        <v>0.0132004024849307</v>
      </c>
    </row>
    <row r="17" customFormat="false" ht="15" hidden="false" customHeight="false" outlineLevel="0" collapsed="false">
      <c r="A17" s="4" t="s">
        <v>21</v>
      </c>
      <c r="B17" s="8" t="n">
        <f aca="false">'Monthly P&amp;L'!O21</f>
        <v>6150</v>
      </c>
      <c r="C17" s="9" t="n">
        <f aca="false">B17/'Monthly P&amp;L'!O27</f>
        <v>0.397953310207471</v>
      </c>
    </row>
    <row r="18" customFormat="false" ht="15" hidden="false" customHeight="false" outlineLevel="0" collapsed="false">
      <c r="A18" s="4" t="s">
        <v>22</v>
      </c>
      <c r="B18" s="8" t="n">
        <f aca="false">'Monthly P&amp;L'!O22</f>
        <v>5300</v>
      </c>
      <c r="C18" s="9" t="n">
        <f aca="false">B18/'Monthly P&amp;L'!O27</f>
        <v>0.342951633186926</v>
      </c>
    </row>
    <row r="19" customFormat="false" ht="15" hidden="false" customHeight="false" outlineLevel="0" collapsed="false">
      <c r="A19" s="4" t="s">
        <v>23</v>
      </c>
      <c r="B19" s="8" t="n">
        <f aca="false">'Monthly P&amp;L'!O23</f>
        <v>1550</v>
      </c>
      <c r="C19" s="9" t="n">
        <f aca="false">B19/'Monthly P&amp;L'!O27</f>
        <v>0.100297175743346</v>
      </c>
    </row>
    <row r="20" customFormat="false" ht="15" hidden="false" customHeight="false" outlineLevel="0" collapsed="false">
      <c r="A20" s="4" t="s">
        <v>24</v>
      </c>
      <c r="B20" s="8" t="n">
        <f aca="false">'Monthly P&amp;L'!O24</f>
        <v>86.50824</v>
      </c>
      <c r="C20" s="9" t="n">
        <f aca="false">B20/'Monthly P&amp;L'!O27</f>
        <v>0.00559776267775973</v>
      </c>
    </row>
    <row r="21" customFormat="false" ht="15" hidden="false" customHeight="false" outlineLevel="0" collapsed="false">
      <c r="A21" s="4" t="s">
        <v>25</v>
      </c>
      <c r="B21" s="8" t="n">
        <f aca="false">'Monthly P&amp;L'!O25</f>
        <v>1700</v>
      </c>
      <c r="C21" s="9" t="n">
        <f aca="false">B21/'Monthly P&amp;L'!O27</f>
        <v>0.110003354041089</v>
      </c>
    </row>
    <row r="22" customFormat="false" ht="15" hidden="false" customHeight="false" outlineLevel="0" collapsed="false">
      <c r="A22" s="4" t="s">
        <v>26</v>
      </c>
      <c r="B22" s="8" t="n">
        <f aca="false">'Monthly P&amp;L'!O26</f>
        <v>300</v>
      </c>
      <c r="C22" s="9" t="n">
        <f aca="false">B22/'Monthly P&amp;L'!O27</f>
        <v>0.0194123565954864</v>
      </c>
    </row>
    <row r="23" customFormat="false" ht="15" hidden="false" customHeight="false" outlineLevel="0" collapsed="false">
      <c r="A23" s="10" t="s">
        <v>27</v>
      </c>
      <c r="B23" s="11" t="n">
        <f aca="false">SUM(B15:B22)</f>
        <v>15454.07424</v>
      </c>
      <c r="C23" s="12" t="n">
        <f aca="false">SUM(C15:C22)</f>
        <v>1</v>
      </c>
    </row>
    <row r="25" customFormat="false" ht="15" hidden="false" customHeight="false" outlineLevel="0" collapsed="false">
      <c r="A25" s="3" t="s">
        <v>28</v>
      </c>
      <c r="B25" s="3"/>
      <c r="C25" s="3"/>
      <c r="D25" s="3"/>
      <c r="E25" s="3"/>
      <c r="F25" s="3"/>
    </row>
    <row r="26" customFormat="false" ht="21.75" hidden="false" customHeight="true" outlineLevel="0" collapsed="false">
      <c r="A26" s="2" t="s">
        <v>29</v>
      </c>
      <c r="B26" s="2"/>
      <c r="C26" s="2"/>
      <c r="D26" s="2"/>
      <c r="E26" s="2"/>
      <c r="F26" s="2"/>
    </row>
    <row r="27" customFormat="false" ht="21.75" hidden="false" customHeight="true" outlineLevel="0" collapsed="false">
      <c r="A27" s="2" t="s">
        <v>30</v>
      </c>
      <c r="B27" s="2"/>
      <c r="C27" s="2"/>
      <c r="D27" s="2"/>
      <c r="E27" s="2"/>
      <c r="F27" s="2"/>
    </row>
    <row r="28" customFormat="false" ht="21.75" hidden="false" customHeight="true" outlineLevel="0" collapsed="false">
      <c r="A28" s="2" t="s">
        <v>31</v>
      </c>
      <c r="B28" s="2"/>
      <c r="C28" s="2"/>
      <c r="D28" s="2"/>
      <c r="E28" s="2"/>
      <c r="F28" s="2"/>
    </row>
    <row r="29" customFormat="false" ht="21.75" hidden="false" customHeight="true" outlineLevel="0" collapsed="false">
      <c r="A29" s="2" t="s">
        <v>32</v>
      </c>
      <c r="B29" s="2"/>
      <c r="C29" s="2"/>
      <c r="D29" s="2"/>
      <c r="E29" s="2"/>
      <c r="F29" s="2"/>
    </row>
    <row r="30" customFormat="false" ht="21.75" hidden="false" customHeight="true" outlineLevel="0" collapsed="false">
      <c r="A30" s="2" t="s">
        <v>33</v>
      </c>
      <c r="B30" s="2"/>
      <c r="C30" s="2"/>
      <c r="D30" s="2"/>
      <c r="E30" s="2"/>
      <c r="F30" s="2"/>
    </row>
  </sheetData>
  <mergeCells count="16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A13:F13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34</v>
      </c>
      <c r="B1" s="1"/>
      <c r="C1" s="1"/>
      <c r="D1" s="1"/>
    </row>
    <row r="2" customFormat="false" ht="15" hidden="false" customHeight="false" outlineLevel="0" collapsed="false">
      <c r="A2" s="2" t="s">
        <v>35</v>
      </c>
      <c r="B2" s="2"/>
      <c r="C2" s="2"/>
      <c r="D2" s="2"/>
    </row>
    <row r="4" customFormat="false" ht="15" hidden="false" customHeight="false" outlineLevel="0" collapsed="false">
      <c r="A4" s="3" t="s">
        <v>36</v>
      </c>
      <c r="B4" s="3"/>
      <c r="C4" s="3"/>
      <c r="D4" s="3"/>
    </row>
    <row r="5" customFormat="false" ht="15" hidden="false" customHeight="false" outlineLevel="0" collapsed="false">
      <c r="A5" s="4" t="s">
        <v>37</v>
      </c>
      <c r="B5" s="13" t="n">
        <v>2.99</v>
      </c>
      <c r="C5" s="14" t="s">
        <v>38</v>
      </c>
    </row>
    <row r="6" customFormat="false" ht="15" hidden="false" customHeight="false" outlineLevel="0" collapsed="false">
      <c r="A6" s="4" t="s">
        <v>39</v>
      </c>
      <c r="B6" s="13" t="n">
        <v>15.99</v>
      </c>
      <c r="C6" s="14" t="s">
        <v>40</v>
      </c>
    </row>
    <row r="7" customFormat="false" ht="15" hidden="false" customHeight="false" outlineLevel="0" collapsed="false">
      <c r="A7" s="4" t="s">
        <v>41</v>
      </c>
      <c r="B7" s="15" t="n">
        <v>0.014</v>
      </c>
      <c r="C7" s="14" t="s">
        <v>42</v>
      </c>
    </row>
    <row r="8" customFormat="false" ht="15" hidden="false" customHeight="false" outlineLevel="0" collapsed="false">
      <c r="A8" s="4" t="s">
        <v>43</v>
      </c>
      <c r="B8" s="13" t="n">
        <v>0.2</v>
      </c>
      <c r="C8" s="14" t="s">
        <v>44</v>
      </c>
    </row>
    <row r="10" customFormat="false" ht="15" hidden="false" customHeight="false" outlineLevel="0" collapsed="false">
      <c r="A10" s="3" t="s">
        <v>45</v>
      </c>
      <c r="B10" s="3"/>
      <c r="C10" s="3"/>
      <c r="D10" s="3"/>
    </row>
    <row r="11" customFormat="false" ht="15" hidden="false" customHeight="false" outlineLevel="0" collapsed="false">
      <c r="A11" s="4" t="s">
        <v>46</v>
      </c>
      <c r="B11" s="16" t="n">
        <v>25000</v>
      </c>
      <c r="C11" s="2" t="s">
        <v>47</v>
      </c>
      <c r="D11" s="2"/>
    </row>
    <row r="12" customFormat="false" ht="15" hidden="false" customHeight="false" outlineLevel="0" collapsed="false">
      <c r="A12" s="4" t="s">
        <v>48</v>
      </c>
      <c r="B12" s="16" t="n">
        <v>5000</v>
      </c>
      <c r="C12" s="2" t="s">
        <v>10</v>
      </c>
      <c r="D12" s="2"/>
    </row>
    <row r="13" customFormat="false" ht="15" hidden="false" customHeight="false" outlineLevel="0" collapsed="false">
      <c r="A13" s="4" t="s">
        <v>49</v>
      </c>
      <c r="B13" s="15" t="n">
        <v>0.068</v>
      </c>
      <c r="C13" s="2" t="s">
        <v>50</v>
      </c>
      <c r="D13" s="2"/>
    </row>
    <row r="14" customFormat="false" ht="15" hidden="false" customHeight="false" outlineLevel="0" collapsed="false">
      <c r="A14" s="4" t="s">
        <v>51</v>
      </c>
      <c r="B14" s="16" t="n">
        <v>5</v>
      </c>
      <c r="C14" s="2" t="s">
        <v>52</v>
      </c>
      <c r="D14" s="2"/>
    </row>
    <row r="15" customFormat="false" ht="15" hidden="false" customHeight="false" outlineLevel="0" collapsed="false">
      <c r="A15" s="4" t="s">
        <v>53</v>
      </c>
      <c r="B15" s="15" t="n">
        <v>0.05</v>
      </c>
      <c r="C15" s="2" t="s">
        <v>54</v>
      </c>
      <c r="D15" s="2"/>
    </row>
    <row r="17" customFormat="false" ht="15" hidden="false" customHeight="false" outlineLevel="0" collapsed="false">
      <c r="A17" s="3" t="s">
        <v>55</v>
      </c>
      <c r="B17" s="3"/>
      <c r="C17" s="3"/>
      <c r="D17" s="3"/>
    </row>
    <row r="18" customFormat="false" ht="15" hidden="false" customHeight="false" outlineLevel="0" collapsed="false">
      <c r="A18" s="4" t="s">
        <v>56</v>
      </c>
      <c r="B18" s="17" t="n">
        <v>80</v>
      </c>
      <c r="C18" s="2" t="s">
        <v>57</v>
      </c>
      <c r="D18" s="2"/>
    </row>
    <row r="19" customFormat="false" ht="15" hidden="false" customHeight="false" outlineLevel="0" collapsed="false">
      <c r="A19" s="4" t="s">
        <v>58</v>
      </c>
      <c r="B19" s="17" t="n">
        <v>60</v>
      </c>
      <c r="C19" s="2" t="s">
        <v>59</v>
      </c>
      <c r="D19" s="2"/>
    </row>
    <row r="20" customFormat="false" ht="15" hidden="false" customHeight="false" outlineLevel="0" collapsed="false">
      <c r="A20" s="4" t="s">
        <v>60</v>
      </c>
      <c r="B20" s="17" t="n">
        <v>99</v>
      </c>
      <c r="C20" s="2" t="s">
        <v>61</v>
      </c>
      <c r="D20" s="2"/>
    </row>
    <row r="21" customFormat="false" ht="15" hidden="false" customHeight="false" outlineLevel="0" collapsed="false">
      <c r="A21" s="4" t="s">
        <v>62</v>
      </c>
      <c r="B21" s="17" t="n">
        <v>25</v>
      </c>
      <c r="C21" s="2" t="s">
        <v>63</v>
      </c>
      <c r="D21" s="2"/>
    </row>
    <row r="22" customFormat="false" ht="15" hidden="false" customHeight="false" outlineLevel="0" collapsed="false">
      <c r="A22" s="4" t="s">
        <v>64</v>
      </c>
      <c r="B22" s="17" t="n">
        <v>80</v>
      </c>
      <c r="C22" s="2" t="s">
        <v>65</v>
      </c>
      <c r="D22" s="2"/>
    </row>
    <row r="23" customFormat="false" ht="15" hidden="false" customHeight="false" outlineLevel="0" collapsed="false">
      <c r="A23" s="4" t="s">
        <v>66</v>
      </c>
      <c r="B23" s="17" t="n">
        <v>100</v>
      </c>
      <c r="C23" s="2" t="s">
        <v>67</v>
      </c>
      <c r="D23" s="2"/>
    </row>
    <row r="24" customFormat="false" ht="15" hidden="false" customHeight="false" outlineLevel="0" collapsed="false">
      <c r="A24" s="4" t="s">
        <v>68</v>
      </c>
      <c r="B24" s="17" t="n">
        <v>150</v>
      </c>
      <c r="C24" s="2" t="s">
        <v>69</v>
      </c>
      <c r="D24" s="2"/>
    </row>
    <row r="25" customFormat="false" ht="15" hidden="false" customHeight="false" outlineLevel="0" collapsed="false">
      <c r="A25" s="4" t="s">
        <v>70</v>
      </c>
      <c r="B25" s="17" t="n">
        <v>150</v>
      </c>
      <c r="C25" s="2" t="s">
        <v>71</v>
      </c>
      <c r="D25" s="2"/>
    </row>
    <row r="26" customFormat="false" ht="15" hidden="false" customHeight="false" outlineLevel="0" collapsed="false">
      <c r="A26" s="4" t="s">
        <v>72</v>
      </c>
      <c r="B26" s="17" t="n">
        <v>40</v>
      </c>
      <c r="C26" s="2" t="s">
        <v>73</v>
      </c>
      <c r="D26" s="2"/>
    </row>
    <row r="29" customFormat="false" ht="15" hidden="false" customHeight="false" outlineLevel="0" collapsed="false">
      <c r="A29" s="18" t="s">
        <v>74</v>
      </c>
    </row>
    <row r="30" customFormat="false" ht="15" hidden="false" customHeight="false" outlineLevel="0" collapsed="false">
      <c r="A30" s="19" t="s">
        <v>75</v>
      </c>
    </row>
    <row r="31" customFormat="false" ht="15" hidden="false" customHeight="false" outlineLevel="0" collapsed="false">
      <c r="A31" s="20" t="s">
        <v>76</v>
      </c>
    </row>
  </sheetData>
  <mergeCells count="19">
    <mergeCell ref="A1:D1"/>
    <mergeCell ref="A2:D2"/>
    <mergeCell ref="A4:D4"/>
    <mergeCell ref="A10:D10"/>
    <mergeCell ref="C11:D11"/>
    <mergeCell ref="C12:D12"/>
    <mergeCell ref="C13:D13"/>
    <mergeCell ref="C14:D14"/>
    <mergeCell ref="C15:D15"/>
    <mergeCell ref="A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14" min="3" style="0" width="11"/>
    <col collapsed="false" customWidth="true" hidden="false" outlineLevel="0" max="15" min="15" style="0" width="14"/>
  </cols>
  <sheetData>
    <row r="1" customFormat="false" ht="19.7" hidden="false" customHeight="fals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21"/>
      <c r="B4" s="22" t="s">
        <v>79</v>
      </c>
      <c r="C4" s="23" t="s">
        <v>80</v>
      </c>
      <c r="D4" s="23" t="s">
        <v>81</v>
      </c>
      <c r="E4" s="23" t="s">
        <v>82</v>
      </c>
      <c r="F4" s="23" t="s">
        <v>83</v>
      </c>
      <c r="G4" s="23" t="s">
        <v>84</v>
      </c>
      <c r="H4" s="23" t="s">
        <v>85</v>
      </c>
      <c r="I4" s="23" t="s">
        <v>86</v>
      </c>
      <c r="J4" s="23" t="s">
        <v>87</v>
      </c>
      <c r="K4" s="23" t="s">
        <v>88</v>
      </c>
      <c r="L4" s="23" t="s">
        <v>89</v>
      </c>
      <c r="M4" s="23" t="s">
        <v>90</v>
      </c>
      <c r="N4" s="23" t="s">
        <v>91</v>
      </c>
      <c r="O4" s="23" t="s">
        <v>92</v>
      </c>
    </row>
    <row r="5" customFormat="false" ht="15" hidden="false" customHeight="false" outlineLevel="0" collapsed="false">
      <c r="B5" s="14" t="s">
        <v>93</v>
      </c>
      <c r="C5" s="24" t="s">
        <v>94</v>
      </c>
      <c r="D5" s="24" t="s">
        <v>95</v>
      </c>
      <c r="E5" s="24" t="s">
        <v>96</v>
      </c>
      <c r="F5" s="24" t="s">
        <v>97</v>
      </c>
      <c r="G5" s="24" t="s">
        <v>98</v>
      </c>
      <c r="H5" s="24" t="s">
        <v>99</v>
      </c>
      <c r="I5" s="24" t="s">
        <v>100</v>
      </c>
      <c r="J5" s="24" t="s">
        <v>101</v>
      </c>
      <c r="K5" s="24" t="s">
        <v>99</v>
      </c>
      <c r="L5" s="24" t="s">
        <v>102</v>
      </c>
      <c r="M5" s="24" t="s">
        <v>103</v>
      </c>
      <c r="N5" s="24" t="s">
        <v>104</v>
      </c>
    </row>
    <row r="7" customFormat="false" ht="15" hidden="false" customHeight="false" outlineLevel="0" collapsed="false">
      <c r="A7" s="3" t="s">
        <v>105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false" outlineLevel="0" collapsed="false">
      <c r="B8" s="4" t="s">
        <v>106</v>
      </c>
      <c r="C8" s="25" t="n">
        <v>0</v>
      </c>
      <c r="D8" s="25" t="n">
        <v>50</v>
      </c>
      <c r="E8" s="25" t="n">
        <v>200</v>
      </c>
      <c r="F8" s="25" t="n">
        <v>1500</v>
      </c>
      <c r="G8" s="25" t="n">
        <v>2500</v>
      </c>
      <c r="H8" s="25" t="n">
        <v>3200</v>
      </c>
      <c r="I8" s="25" t="n">
        <v>3300</v>
      </c>
      <c r="J8" s="25" t="n">
        <v>3700</v>
      </c>
      <c r="K8" s="25" t="n">
        <v>4000</v>
      </c>
      <c r="L8" s="25" t="n">
        <v>4400</v>
      </c>
      <c r="M8" s="25" t="n">
        <v>4700</v>
      </c>
      <c r="N8" s="25" t="n">
        <v>5000</v>
      </c>
      <c r="O8" s="26" t="n">
        <f aca="false">SUM(C8:N8)</f>
        <v>32550</v>
      </c>
    </row>
    <row r="9" customFormat="false" ht="15" hidden="false" customHeight="false" outlineLevel="0" collapsed="false">
      <c r="B9" s="4" t="s">
        <v>107</v>
      </c>
      <c r="C9" s="25" t="n">
        <v>0</v>
      </c>
      <c r="D9" s="25" t="n">
        <v>0</v>
      </c>
      <c r="E9" s="25" t="n">
        <v>5</v>
      </c>
      <c r="F9" s="25" t="n">
        <v>60</v>
      </c>
      <c r="G9" s="25" t="n">
        <v>130</v>
      </c>
      <c r="H9" s="25" t="n">
        <v>180</v>
      </c>
      <c r="I9" s="25" t="n">
        <v>190</v>
      </c>
      <c r="J9" s="25" t="n">
        <v>220</v>
      </c>
      <c r="K9" s="25" t="n">
        <v>250</v>
      </c>
      <c r="L9" s="25" t="n">
        <v>280</v>
      </c>
      <c r="M9" s="25" t="n">
        <v>310</v>
      </c>
      <c r="N9" s="25" t="n">
        <v>340</v>
      </c>
      <c r="O9" s="26" t="n">
        <f aca="false">SUM(C9:N9)</f>
        <v>1965</v>
      </c>
    </row>
    <row r="10" customFormat="false" ht="15" hidden="false" customHeight="false" outlineLevel="0" collapsed="false">
      <c r="B10" s="4" t="s">
        <v>108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1</v>
      </c>
      <c r="H10" s="25" t="n">
        <v>1</v>
      </c>
      <c r="I10" s="25" t="n">
        <v>1</v>
      </c>
      <c r="J10" s="25" t="n">
        <v>2</v>
      </c>
      <c r="K10" s="25" t="n">
        <v>2</v>
      </c>
      <c r="L10" s="25" t="n">
        <v>3</v>
      </c>
      <c r="M10" s="25" t="n">
        <v>4</v>
      </c>
      <c r="N10" s="25" t="n">
        <v>5</v>
      </c>
      <c r="O10" s="26" t="n">
        <f aca="false">SUM(C10:N10)</f>
        <v>19</v>
      </c>
    </row>
    <row r="11" customFormat="false" ht="15" hidden="false" customHeight="false" outlineLevel="0" collapsed="false">
      <c r="B11" s="4" t="s">
        <v>109</v>
      </c>
      <c r="C11" s="27" t="n">
        <f aca="false">IF(C8=0,0,C9/C8)</f>
        <v>0</v>
      </c>
      <c r="D11" s="27" t="n">
        <f aca="false">IF(D8=0,0,D9/D8)</f>
        <v>0</v>
      </c>
      <c r="E11" s="27" t="n">
        <f aca="false">IF(E8=0,0,E9/E8)</f>
        <v>0.025</v>
      </c>
      <c r="F11" s="27" t="n">
        <f aca="false">IF(F8=0,0,F9/F8)</f>
        <v>0.04</v>
      </c>
      <c r="G11" s="27" t="n">
        <f aca="false">IF(G8=0,0,G9/G8)</f>
        <v>0.052</v>
      </c>
      <c r="H11" s="27" t="n">
        <f aca="false">IF(H8=0,0,H9/H8)</f>
        <v>0.05625</v>
      </c>
      <c r="I11" s="27" t="n">
        <f aca="false">IF(I8=0,0,I9/I8)</f>
        <v>0.0575757575757576</v>
      </c>
      <c r="J11" s="27" t="n">
        <f aca="false">IF(J8=0,0,J9/J8)</f>
        <v>0.0594594594594595</v>
      </c>
      <c r="K11" s="27" t="n">
        <f aca="false">IF(K8=0,0,K9/K8)</f>
        <v>0.0625</v>
      </c>
      <c r="L11" s="27" t="n">
        <f aca="false">IF(L8=0,0,L9/L8)</f>
        <v>0.0636363636363636</v>
      </c>
      <c r="M11" s="27" t="n">
        <f aca="false">IF(M8=0,0,M9/M8)</f>
        <v>0.0659574468085106</v>
      </c>
      <c r="N11" s="27" t="n">
        <f aca="false">IF(N8=0,0,N9/N8)</f>
        <v>0.068</v>
      </c>
      <c r="O11" s="12" t="n">
        <f aca="false">IFERROR(N9/N8,0)</f>
        <v>0.068</v>
      </c>
    </row>
    <row r="13" customFormat="false" ht="15" hidden="false" customHeight="false" outlineLevel="0" collapsed="false">
      <c r="A13" s="3" t="s">
        <v>110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false" outlineLevel="0" collapsed="false">
      <c r="B14" s="4" t="s">
        <v>111</v>
      </c>
      <c r="C14" s="28" t="n">
        <f aca="false">C9*Assumptions!$B$5</f>
        <v>0</v>
      </c>
      <c r="D14" s="28" t="n">
        <f aca="false">D9*Assumptions!$B$5</f>
        <v>0</v>
      </c>
      <c r="E14" s="28" t="n">
        <f aca="false">E9*Assumptions!$B$5</f>
        <v>14.95</v>
      </c>
      <c r="F14" s="28" t="n">
        <f aca="false">F9*Assumptions!$B$5</f>
        <v>179.4</v>
      </c>
      <c r="G14" s="28" t="n">
        <f aca="false">G9*Assumptions!$B$5</f>
        <v>388.7</v>
      </c>
      <c r="H14" s="28" t="n">
        <f aca="false">H9*Assumptions!$B$5</f>
        <v>538.2</v>
      </c>
      <c r="I14" s="28" t="n">
        <f aca="false">I9*Assumptions!$B$5</f>
        <v>568.1</v>
      </c>
      <c r="J14" s="28" t="n">
        <f aca="false">J9*Assumptions!$B$5</f>
        <v>657.8</v>
      </c>
      <c r="K14" s="28" t="n">
        <f aca="false">K9*Assumptions!$B$5</f>
        <v>747.5</v>
      </c>
      <c r="L14" s="28" t="n">
        <f aca="false">L9*Assumptions!$B$5</f>
        <v>837.2</v>
      </c>
      <c r="M14" s="28" t="n">
        <f aca="false">M9*Assumptions!$B$5</f>
        <v>926.9</v>
      </c>
      <c r="N14" s="28" t="n">
        <f aca="false">N9*Assumptions!$B$5</f>
        <v>1016.6</v>
      </c>
      <c r="O14" s="29" t="n">
        <f aca="false">SUM(C14:N14)</f>
        <v>5875.35</v>
      </c>
    </row>
    <row r="15" customFormat="false" ht="15" hidden="false" customHeight="false" outlineLevel="0" collapsed="false">
      <c r="B15" s="4" t="s">
        <v>112</v>
      </c>
      <c r="C15" s="28" t="n">
        <f aca="false">C10*Assumptions!$B$6</f>
        <v>0</v>
      </c>
      <c r="D15" s="28" t="n">
        <f aca="false">D10*Assumptions!$B$6</f>
        <v>0</v>
      </c>
      <c r="E15" s="28" t="n">
        <f aca="false">E10*Assumptions!$B$6</f>
        <v>0</v>
      </c>
      <c r="F15" s="28" t="n">
        <f aca="false">F10*Assumptions!$B$6</f>
        <v>0</v>
      </c>
      <c r="G15" s="28" t="n">
        <f aca="false">G10*Assumptions!$B$6</f>
        <v>15.99</v>
      </c>
      <c r="H15" s="28" t="n">
        <f aca="false">H10*Assumptions!$B$6</f>
        <v>15.99</v>
      </c>
      <c r="I15" s="28" t="n">
        <f aca="false">I10*Assumptions!$B$6</f>
        <v>15.99</v>
      </c>
      <c r="J15" s="28" t="n">
        <f aca="false">J10*Assumptions!$B$6</f>
        <v>31.98</v>
      </c>
      <c r="K15" s="28" t="n">
        <f aca="false">K10*Assumptions!$B$6</f>
        <v>31.98</v>
      </c>
      <c r="L15" s="28" t="n">
        <f aca="false">L10*Assumptions!$B$6</f>
        <v>47.97</v>
      </c>
      <c r="M15" s="28" t="n">
        <f aca="false">M10*Assumptions!$B$6</f>
        <v>63.96</v>
      </c>
      <c r="N15" s="28" t="n">
        <f aca="false">N10*Assumptions!$B$6</f>
        <v>79.95</v>
      </c>
      <c r="O15" s="29" t="n">
        <f aca="false">SUM(C15:N15)</f>
        <v>303.81</v>
      </c>
    </row>
    <row r="16" customFormat="false" ht="15" hidden="false" customHeight="false" outlineLevel="0" collapsed="false">
      <c r="B16" s="7" t="s">
        <v>113</v>
      </c>
      <c r="C16" s="29" t="n">
        <f aca="false">SUM(C14:C15)</f>
        <v>0</v>
      </c>
      <c r="D16" s="29" t="n">
        <f aca="false">SUM(D14:D15)</f>
        <v>0</v>
      </c>
      <c r="E16" s="29" t="n">
        <f aca="false">SUM(E14:E15)</f>
        <v>14.95</v>
      </c>
      <c r="F16" s="29" t="n">
        <f aca="false">SUM(F14:F15)</f>
        <v>179.4</v>
      </c>
      <c r="G16" s="29" t="n">
        <f aca="false">SUM(G14:G15)</f>
        <v>404.69</v>
      </c>
      <c r="H16" s="29" t="n">
        <f aca="false">SUM(H14:H15)</f>
        <v>554.19</v>
      </c>
      <c r="I16" s="29" t="n">
        <f aca="false">SUM(I14:I15)</f>
        <v>584.09</v>
      </c>
      <c r="J16" s="29" t="n">
        <f aca="false">SUM(J14:J15)</f>
        <v>689.78</v>
      </c>
      <c r="K16" s="29" t="n">
        <f aca="false">SUM(K14:K15)</f>
        <v>779.48</v>
      </c>
      <c r="L16" s="29" t="n">
        <f aca="false">SUM(L14:L15)</f>
        <v>885.17</v>
      </c>
      <c r="M16" s="29" t="n">
        <f aca="false">SUM(M14:M15)</f>
        <v>990.86</v>
      </c>
      <c r="N16" s="29" t="n">
        <f aca="false">SUM(N14:N15)</f>
        <v>1096.55</v>
      </c>
      <c r="O16" s="29" t="n">
        <f aca="false">SUM(C16:N16)</f>
        <v>6179.16</v>
      </c>
    </row>
    <row r="18" customFormat="false" ht="15" hidden="false" customHeight="false" outlineLevel="0" collapsed="false">
      <c r="A18" s="3" t="s">
        <v>114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false" outlineLevel="0" collapsed="false">
      <c r="B19" s="4" t="s">
        <v>19</v>
      </c>
      <c r="C19" s="28" t="n">
        <f aca="false">Assumptions!$B$13+(C8/1000)*Assumptions!$B$14</f>
        <v>0.068</v>
      </c>
      <c r="D19" s="28" t="n">
        <f aca="false">Assumptions!$B$13+(D8/1000)*Assumptions!$B$14</f>
        <v>0.318</v>
      </c>
      <c r="E19" s="28" t="n">
        <f aca="false">Assumptions!$B$13+(E8/1000)*Assumptions!$B$14</f>
        <v>1.068</v>
      </c>
      <c r="F19" s="28" t="n">
        <f aca="false">Assumptions!$B$13+(F8/1000)*Assumptions!$B$14</f>
        <v>7.568</v>
      </c>
      <c r="G19" s="28" t="n">
        <f aca="false">Assumptions!$B$13+(G8/1000)*Assumptions!$B$14</f>
        <v>12.568</v>
      </c>
      <c r="H19" s="28" t="n">
        <f aca="false">Assumptions!$B$13+(H8/1000)*Assumptions!$B$14</f>
        <v>16.068</v>
      </c>
      <c r="I19" s="28" t="n">
        <f aca="false">Assumptions!$B$13+(I8/1000)*Assumptions!$B$14</f>
        <v>16.568</v>
      </c>
      <c r="J19" s="28" t="n">
        <f aca="false">Assumptions!$B$13+(J8/1000)*Assumptions!$B$14</f>
        <v>18.568</v>
      </c>
      <c r="K19" s="28" t="n">
        <f aca="false">Assumptions!$B$13+(K8/1000)*Assumptions!$B$14</f>
        <v>20.068</v>
      </c>
      <c r="L19" s="28" t="n">
        <f aca="false">Assumptions!$B$13+(L8/1000)*Assumptions!$B$14</f>
        <v>22.068</v>
      </c>
      <c r="M19" s="28" t="n">
        <f aca="false">Assumptions!$B$13+(M8/1000)*Assumptions!$B$14</f>
        <v>23.568</v>
      </c>
      <c r="N19" s="28" t="n">
        <f aca="false">Assumptions!$B$13+(N8/1000)*Assumptions!$B$14</f>
        <v>25.068</v>
      </c>
      <c r="O19" s="29" t="n">
        <f aca="false">SUM(C19:N19)</f>
        <v>163.566</v>
      </c>
    </row>
    <row r="20" customFormat="false" ht="15" hidden="false" customHeight="false" outlineLevel="0" collapsed="false">
      <c r="B20" s="4" t="s">
        <v>20</v>
      </c>
      <c r="C20" s="30" t="n">
        <v>204</v>
      </c>
      <c r="D20" s="30" t="n">
        <v>0</v>
      </c>
      <c r="E20" s="30" t="n">
        <v>0</v>
      </c>
      <c r="F20" s="30" t="n">
        <v>0</v>
      </c>
      <c r="G20" s="30" t="n">
        <v>0</v>
      </c>
      <c r="H20" s="30" t="n">
        <v>0</v>
      </c>
      <c r="I20" s="30" t="n">
        <v>0</v>
      </c>
      <c r="J20" s="30" t="n">
        <v>0</v>
      </c>
      <c r="K20" s="30" t="n">
        <v>0</v>
      </c>
      <c r="L20" s="30" t="n">
        <v>0</v>
      </c>
      <c r="M20" s="30" t="n">
        <v>0</v>
      </c>
      <c r="N20" s="30" t="n">
        <v>0</v>
      </c>
      <c r="O20" s="29" t="n">
        <f aca="false">SUM(C20:N20)</f>
        <v>204</v>
      </c>
    </row>
    <row r="21" customFormat="false" ht="15" hidden="false" customHeight="false" outlineLevel="0" collapsed="false">
      <c r="B21" s="4" t="s">
        <v>115</v>
      </c>
      <c r="C21" s="30" t="n">
        <v>50</v>
      </c>
      <c r="D21" s="30" t="n">
        <v>100</v>
      </c>
      <c r="E21" s="30" t="n">
        <v>400</v>
      </c>
      <c r="F21" s="30" t="n">
        <v>1500</v>
      </c>
      <c r="G21" s="30" t="n">
        <v>800</v>
      </c>
      <c r="H21" s="30" t="n">
        <v>500</v>
      </c>
      <c r="I21" s="30" t="n">
        <v>200</v>
      </c>
      <c r="J21" s="30" t="n">
        <v>700</v>
      </c>
      <c r="K21" s="30" t="n">
        <v>400</v>
      </c>
      <c r="L21" s="30" t="n">
        <v>500</v>
      </c>
      <c r="M21" s="30" t="n">
        <v>600</v>
      </c>
      <c r="N21" s="30" t="n">
        <v>400</v>
      </c>
      <c r="O21" s="29" t="n">
        <f aca="false">SUM(C21:N21)</f>
        <v>6150</v>
      </c>
    </row>
    <row r="22" customFormat="false" ht="15" hidden="false" customHeight="false" outlineLevel="0" collapsed="false">
      <c r="B22" s="4" t="s">
        <v>22</v>
      </c>
      <c r="C22" s="30" t="n">
        <v>0</v>
      </c>
      <c r="D22" s="30" t="n">
        <v>0</v>
      </c>
      <c r="E22" s="30" t="n">
        <v>200</v>
      </c>
      <c r="F22" s="30" t="n">
        <v>600</v>
      </c>
      <c r="G22" s="30" t="n">
        <v>600</v>
      </c>
      <c r="H22" s="30" t="n">
        <v>600</v>
      </c>
      <c r="I22" s="30" t="n">
        <v>400</v>
      </c>
      <c r="J22" s="30" t="n">
        <v>600</v>
      </c>
      <c r="K22" s="30" t="n">
        <v>600</v>
      </c>
      <c r="L22" s="30" t="n">
        <v>600</v>
      </c>
      <c r="M22" s="30" t="n">
        <v>600</v>
      </c>
      <c r="N22" s="30" t="n">
        <v>500</v>
      </c>
      <c r="O22" s="29" t="n">
        <f aca="false">SUM(C22:N22)</f>
        <v>5300</v>
      </c>
    </row>
    <row r="23" customFormat="false" ht="15" hidden="false" customHeight="false" outlineLevel="0" collapsed="false">
      <c r="B23" s="4" t="s">
        <v>23</v>
      </c>
      <c r="C23" s="30" t="n">
        <v>0</v>
      </c>
      <c r="D23" s="30" t="n">
        <v>0</v>
      </c>
      <c r="E23" s="30" t="n">
        <v>150</v>
      </c>
      <c r="F23" s="30" t="n">
        <v>300</v>
      </c>
      <c r="G23" s="30" t="n">
        <v>200</v>
      </c>
      <c r="H23" s="30" t="n">
        <v>100</v>
      </c>
      <c r="I23" s="30" t="n">
        <v>0</v>
      </c>
      <c r="J23" s="30" t="n">
        <v>150</v>
      </c>
      <c r="K23" s="30" t="n">
        <v>100</v>
      </c>
      <c r="L23" s="30" t="n">
        <v>200</v>
      </c>
      <c r="M23" s="30" t="n">
        <v>200</v>
      </c>
      <c r="N23" s="30" t="n">
        <v>150</v>
      </c>
      <c r="O23" s="29" t="n">
        <f aca="false">SUM(C23:N23)</f>
        <v>1550</v>
      </c>
    </row>
    <row r="24" customFormat="false" ht="15" hidden="false" customHeight="false" outlineLevel="0" collapsed="false">
      <c r="B24" s="4" t="s">
        <v>24</v>
      </c>
      <c r="C24" s="28" t="n">
        <f aca="false">C16*Assumptions!$B$7</f>
        <v>0</v>
      </c>
      <c r="D24" s="28" t="n">
        <f aca="false">D16*Assumptions!$B$7</f>
        <v>0</v>
      </c>
      <c r="E24" s="28" t="n">
        <f aca="false">E16*Assumptions!$B$7</f>
        <v>0.2093</v>
      </c>
      <c r="F24" s="28" t="n">
        <f aca="false">F16*Assumptions!$B$7</f>
        <v>2.5116</v>
      </c>
      <c r="G24" s="28" t="n">
        <f aca="false">G16*Assumptions!$B$7</f>
        <v>5.66566</v>
      </c>
      <c r="H24" s="28" t="n">
        <f aca="false">H16*Assumptions!$B$7</f>
        <v>7.75866</v>
      </c>
      <c r="I24" s="28" t="n">
        <f aca="false">I16*Assumptions!$B$7</f>
        <v>8.17726</v>
      </c>
      <c r="J24" s="28" t="n">
        <f aca="false">J16*Assumptions!$B$7</f>
        <v>9.65692</v>
      </c>
      <c r="K24" s="28" t="n">
        <f aca="false">K16*Assumptions!$B$7</f>
        <v>10.91272</v>
      </c>
      <c r="L24" s="28" t="n">
        <f aca="false">L16*Assumptions!$B$7</f>
        <v>12.39238</v>
      </c>
      <c r="M24" s="28" t="n">
        <f aca="false">M16*Assumptions!$B$7</f>
        <v>13.87204</v>
      </c>
      <c r="N24" s="28" t="n">
        <f aca="false">N16*Assumptions!$B$7</f>
        <v>15.3517</v>
      </c>
      <c r="O24" s="29" t="n">
        <f aca="false">SUM(C24:N24)</f>
        <v>86.50824</v>
      </c>
    </row>
    <row r="25" customFormat="false" ht="15" hidden="false" customHeight="false" outlineLevel="0" collapsed="false">
      <c r="B25" s="4" t="s">
        <v>25</v>
      </c>
      <c r="C25" s="30" t="n">
        <v>200</v>
      </c>
      <c r="D25" s="30" t="n">
        <v>100</v>
      </c>
      <c r="E25" s="30" t="n">
        <v>100</v>
      </c>
      <c r="F25" s="30" t="n">
        <v>150</v>
      </c>
      <c r="G25" s="30" t="n">
        <v>150</v>
      </c>
      <c r="H25" s="30" t="n">
        <v>150</v>
      </c>
      <c r="I25" s="30" t="n">
        <v>100</v>
      </c>
      <c r="J25" s="30" t="n">
        <v>150</v>
      </c>
      <c r="K25" s="30" t="n">
        <v>150</v>
      </c>
      <c r="L25" s="30" t="n">
        <v>150</v>
      </c>
      <c r="M25" s="30" t="n">
        <v>150</v>
      </c>
      <c r="N25" s="30" t="n">
        <v>150</v>
      </c>
      <c r="O25" s="29" t="n">
        <f aca="false">SUM(C25:N25)</f>
        <v>1700</v>
      </c>
    </row>
    <row r="26" customFormat="false" ht="15" hidden="false" customHeight="false" outlineLevel="0" collapsed="false">
      <c r="B26" s="4" t="s">
        <v>26</v>
      </c>
      <c r="C26" s="28" t="n">
        <f aca="false">Assumptions!$B$21</f>
        <v>25</v>
      </c>
      <c r="D26" s="28" t="n">
        <f aca="false">Assumptions!$B$21</f>
        <v>25</v>
      </c>
      <c r="E26" s="28" t="n">
        <f aca="false">Assumptions!$B$21</f>
        <v>25</v>
      </c>
      <c r="F26" s="28" t="n">
        <f aca="false">Assumptions!$B$21</f>
        <v>25</v>
      </c>
      <c r="G26" s="28" t="n">
        <f aca="false">Assumptions!$B$21</f>
        <v>25</v>
      </c>
      <c r="H26" s="28" t="n">
        <f aca="false">Assumptions!$B$21</f>
        <v>25</v>
      </c>
      <c r="I26" s="28" t="n">
        <f aca="false">Assumptions!$B$21</f>
        <v>25</v>
      </c>
      <c r="J26" s="28" t="n">
        <f aca="false">Assumptions!$B$21</f>
        <v>25</v>
      </c>
      <c r="K26" s="28" t="n">
        <f aca="false">Assumptions!$B$21</f>
        <v>25</v>
      </c>
      <c r="L26" s="28" t="n">
        <f aca="false">Assumptions!$B$21</f>
        <v>25</v>
      </c>
      <c r="M26" s="28" t="n">
        <f aca="false">Assumptions!$B$21</f>
        <v>25</v>
      </c>
      <c r="N26" s="28" t="n">
        <f aca="false">Assumptions!$B$21</f>
        <v>25</v>
      </c>
      <c r="O26" s="29" t="n">
        <f aca="false">SUM(C26:N26)</f>
        <v>300</v>
      </c>
    </row>
    <row r="27" customFormat="false" ht="15" hidden="false" customHeight="false" outlineLevel="0" collapsed="false">
      <c r="B27" s="7" t="s">
        <v>116</v>
      </c>
      <c r="C27" s="29" t="n">
        <f aca="false">SUM(C19:C26)</f>
        <v>479.068</v>
      </c>
      <c r="D27" s="29" t="n">
        <f aca="false">SUM(D19:D26)</f>
        <v>225.318</v>
      </c>
      <c r="E27" s="29" t="n">
        <f aca="false">SUM(E19:E26)</f>
        <v>876.2773</v>
      </c>
      <c r="F27" s="29" t="n">
        <f aca="false">SUM(F19:F26)</f>
        <v>2585.0796</v>
      </c>
      <c r="G27" s="29" t="n">
        <f aca="false">SUM(G19:G26)</f>
        <v>1793.23366</v>
      </c>
      <c r="H27" s="29" t="n">
        <f aca="false">SUM(H19:H26)</f>
        <v>1398.82666</v>
      </c>
      <c r="I27" s="29" t="n">
        <f aca="false">SUM(I19:I26)</f>
        <v>749.74526</v>
      </c>
      <c r="J27" s="29" t="n">
        <f aca="false">SUM(J19:J26)</f>
        <v>1653.22492</v>
      </c>
      <c r="K27" s="29" t="n">
        <f aca="false">SUM(K19:K26)</f>
        <v>1305.98072</v>
      </c>
      <c r="L27" s="29" t="n">
        <f aca="false">SUM(L19:L26)</f>
        <v>1509.46038</v>
      </c>
      <c r="M27" s="29" t="n">
        <f aca="false">SUM(M19:M26)</f>
        <v>1612.44004</v>
      </c>
      <c r="N27" s="29" t="n">
        <f aca="false">SUM(N19:N26)</f>
        <v>1265.4197</v>
      </c>
      <c r="O27" s="29" t="n">
        <f aca="false">SUM(C27:N27)</f>
        <v>15454.07424</v>
      </c>
    </row>
    <row r="29" customFormat="false" ht="15" hidden="false" customHeight="false" outlineLevel="0" collapsed="false">
      <c r="A29" s="3" t="s">
        <v>117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false" outlineLevel="0" collapsed="false">
      <c r="B30" s="7" t="s">
        <v>118</v>
      </c>
      <c r="C30" s="29" t="n">
        <f aca="false">C16-C27</f>
        <v>-479.068</v>
      </c>
      <c r="D30" s="29" t="n">
        <f aca="false">D16-D27</f>
        <v>-225.318</v>
      </c>
      <c r="E30" s="29" t="n">
        <f aca="false">E16-E27</f>
        <v>-861.3273</v>
      </c>
      <c r="F30" s="29" t="n">
        <f aca="false">F16-F27</f>
        <v>-2405.6796</v>
      </c>
      <c r="G30" s="29" t="n">
        <f aca="false">G16-G27</f>
        <v>-1388.54366</v>
      </c>
      <c r="H30" s="29" t="n">
        <f aca="false">H16-H27</f>
        <v>-844.63666</v>
      </c>
      <c r="I30" s="29" t="n">
        <f aca="false">I16-I27</f>
        <v>-165.65526</v>
      </c>
      <c r="J30" s="29" t="n">
        <f aca="false">J16-J27</f>
        <v>-963.44492</v>
      </c>
      <c r="K30" s="29" t="n">
        <f aca="false">K16-K27</f>
        <v>-526.50072</v>
      </c>
      <c r="L30" s="29" t="n">
        <f aca="false">L16-L27</f>
        <v>-624.29038</v>
      </c>
      <c r="M30" s="29" t="n">
        <f aca="false">M16-M27</f>
        <v>-621.58004</v>
      </c>
      <c r="N30" s="29" t="n">
        <f aca="false">N16-N27</f>
        <v>-168.8697</v>
      </c>
      <c r="O30" s="29" t="n">
        <f aca="false">SUM(C30:N30)</f>
        <v>-9274.91424</v>
      </c>
    </row>
    <row r="31" customFormat="false" ht="15" hidden="false" customHeight="false" outlineLevel="0" collapsed="false">
      <c r="B31" s="10" t="s">
        <v>119</v>
      </c>
      <c r="C31" s="29" t="n">
        <f aca="false">C30</f>
        <v>-479.068</v>
      </c>
      <c r="D31" s="29" t="n">
        <f aca="false">C31+D30</f>
        <v>-704.386</v>
      </c>
      <c r="E31" s="29" t="n">
        <f aca="false">D31+E30</f>
        <v>-1565.7133</v>
      </c>
      <c r="F31" s="29" t="n">
        <f aca="false">E31+F30</f>
        <v>-3971.3929</v>
      </c>
      <c r="G31" s="29" t="n">
        <f aca="false">F31+G30</f>
        <v>-5359.93656</v>
      </c>
      <c r="H31" s="29" t="n">
        <f aca="false">G31+H30</f>
        <v>-6204.57322</v>
      </c>
      <c r="I31" s="29" t="n">
        <f aca="false">H31+I30</f>
        <v>-6370.22848</v>
      </c>
      <c r="J31" s="29" t="n">
        <f aca="false">I31+J30</f>
        <v>-7333.6734</v>
      </c>
      <c r="K31" s="29" t="n">
        <f aca="false">J31+K30</f>
        <v>-7860.17412</v>
      </c>
      <c r="L31" s="29" t="n">
        <f aca="false">K31+L30</f>
        <v>-8484.4645</v>
      </c>
      <c r="M31" s="29" t="n">
        <f aca="false">L31+M30</f>
        <v>-9106.04454</v>
      </c>
      <c r="N31" s="29" t="n">
        <f aca="false">M31+N30</f>
        <v>-9274.91424</v>
      </c>
      <c r="O31" s="29" t="n">
        <f aca="false">N31</f>
        <v>-9274.91424</v>
      </c>
    </row>
  </sheetData>
  <mergeCells count="6">
    <mergeCell ref="A1:N1"/>
    <mergeCell ref="A2:N2"/>
    <mergeCell ref="A7:O7"/>
    <mergeCell ref="A13:O13"/>
    <mergeCell ref="A18:O18"/>
    <mergeCell ref="A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2026-04-27T14:15:54Z</dcterms:created>
  <dc:creator>openpyxl</dc:creator>
  <dc:description/>
  <dc:language>en-US</dc:language>
  <cp:lastModifiedBy/>
  <dcterms:modified xsi:type="dcterms:W3CDTF">2026-04-27T14:15:54Z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